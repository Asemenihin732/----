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olka/Desktop/игра/"/>
    </mc:Choice>
  </mc:AlternateContent>
  <xr:revisionPtr revIDLastSave="0" documentId="13_ncr:1_{0657C524-DA1E-A946-ACEF-B9BFE454B453}" xr6:coauthVersionLast="47" xr6:coauthVersionMax="47" xr10:uidLastSave="{00000000-0000-0000-0000-000000000000}"/>
  <bookViews>
    <workbookView xWindow="0" yWindow="600" windowWidth="28800" windowHeight="15240" tabRatio="500" xr2:uid="{00000000-000D-0000-FFFF-FFFF00000000}"/>
  </bookViews>
  <sheets>
    <sheet name="Кейтеринг" sheetId="1" r:id="rId1"/>
    <sheet name="Сцена" sheetId="2" r:id="rId2"/>
    <sheet name="Развлечения" sheetId="3" r:id="rId3"/>
    <sheet name="Мерч" sheetId="4" r:id="rId4"/>
    <sheet name="Логистика" sheetId="5" r:id="rId5"/>
    <sheet name="Афтепати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6" i="6" l="1"/>
  <c r="E15" i="6"/>
  <c r="E21" i="6" s="1"/>
  <c r="I11" i="6"/>
  <c r="G11" i="6"/>
  <c r="D11" i="6"/>
  <c r="E17" i="5"/>
  <c r="E16" i="5"/>
  <c r="E15" i="5"/>
  <c r="E21" i="5" s="1"/>
  <c r="I11" i="5"/>
  <c r="G11" i="5"/>
  <c r="D11" i="5"/>
  <c r="E18" i="4"/>
  <c r="E22" i="4" s="1"/>
  <c r="E17" i="4"/>
  <c r="E16" i="4"/>
  <c r="I12" i="4"/>
  <c r="G12" i="4"/>
  <c r="D12" i="4"/>
  <c r="E21" i="3"/>
  <c r="E17" i="3"/>
  <c r="E16" i="3"/>
  <c r="E15" i="3"/>
  <c r="I11" i="3"/>
  <c r="G11" i="3"/>
  <c r="D11" i="3"/>
  <c r="E17" i="2"/>
  <c r="E16" i="2"/>
  <c r="E22" i="2" s="1"/>
  <c r="I12" i="2"/>
  <c r="G12" i="2"/>
  <c r="D12" i="2"/>
  <c r="E22" i="1"/>
  <c r="E18" i="1"/>
  <c r="E17" i="1"/>
  <c r="E16" i="1"/>
  <c r="I12" i="1"/>
  <c r="G12" i="1"/>
  <c r="D12" i="1"/>
</calcChain>
</file>

<file path=xl/sharedStrings.xml><?xml version="1.0" encoding="utf-8"?>
<sst xmlns="http://schemas.openxmlformats.org/spreadsheetml/2006/main" count="447" uniqueCount="146">
  <si>
    <t>Команда 1. Кейтеринг и фуршет</t>
  </si>
  <si>
    <t>Доход 1 200 000 ₽ · себестоимость 900 000 ₽ · маржа 25% · 6 дней</t>
  </si>
  <si>
    <t>№</t>
  </si>
  <si>
    <t>Задача</t>
  </si>
  <si>
    <t>Длительность, дн.</t>
  </si>
  <si>
    <t>Трудозатраты, чел.-дн.</t>
  </si>
  <si>
    <t>Назначенные ресурсы</t>
  </si>
  <si>
    <t>Предшественник</t>
  </si>
  <si>
    <t>Стоимость труда, ₽</t>
  </si>
  <si>
    <t>Отдельный расход</t>
  </si>
  <si>
    <t>Сумма расхода, ₽</t>
  </si>
  <si>
    <t>Примечание</t>
  </si>
  <si>
    <t>Утверждение меню с заказчиком</t>
  </si>
  <si>
    <t>Менеджер проекта — 1 чел.-дн.
Шеф-повар — 1 чел.-дн.</t>
  </si>
  <si>
    <t>—</t>
  </si>
  <si>
    <t>веха</t>
  </si>
  <si>
    <t>Дегустация и корректировка меню</t>
  </si>
  <si>
    <t>Шеф-повар — 1 чел.-дн.
Повар — 1 чел.-дн.
Менеджер проекта — 1 чел.-дн.</t>
  </si>
  <si>
    <t>1</t>
  </si>
  <si>
    <t>Закупка продуктов</t>
  </si>
  <si>
    <t>Шеф-повар — 1 чел.-дн.
Повар — 1 чел.-дн.</t>
  </si>
  <si>
    <t>2</t>
  </si>
  <si>
    <t>Продукты</t>
  </si>
  <si>
    <t>точка невозврата</t>
  </si>
  <si>
    <t>Аренда и доставка оборудования</t>
  </si>
  <si>
    <t>Менеджер проекта — 2 чел.-дн.</t>
  </si>
  <si>
    <t>Аренда оборудования</t>
  </si>
  <si>
    <t>резерв 1 день</t>
  </si>
  <si>
    <t>Подготовка блюд</t>
  </si>
  <si>
    <t>3</t>
  </si>
  <si>
    <t>Монтаж фуршетной зоны</t>
  </si>
  <si>
    <t>4; 5</t>
  </si>
  <si>
    <t>Обслуживание мероприятия и уборка</t>
  </si>
  <si>
    <t>6</t>
  </si>
  <si>
    <t>Официанты (подряд)</t>
  </si>
  <si>
    <t>веха · День Х</t>
  </si>
  <si>
    <t>ИТОГО по проекту</t>
  </si>
  <si>
    <t>РЕСУРСЫ И РАСХОДЫ</t>
  </si>
  <si>
    <t>Ресурс или статья</t>
  </si>
  <si>
    <t>Тип</t>
  </si>
  <si>
    <t>Ставка в день, ₽</t>
  </si>
  <si>
    <t>Загрузка, чел.-дн.</t>
  </si>
  <si>
    <t>Плановая стоимость, ₽</t>
  </si>
  <si>
    <t>Шеф-повар</t>
  </si>
  <si>
    <t>Трудовой ресурс</t>
  </si>
  <si>
    <t>Повар</t>
  </si>
  <si>
    <t>Менеджер проекта</t>
  </si>
  <si>
    <t>ИТОГО себестоимость</t>
  </si>
  <si>
    <t>Сверка: сумма по задачам (строка 12) должна совпасть с этой строкой.</t>
  </si>
  <si>
    <t>Команда 2. Сцена и техническое оснащение</t>
  </si>
  <si>
    <t>Доход 1 250 000 ₽ · себестоимость 950 000 ₽ · маржа 24% · 6 дней</t>
  </si>
  <si>
    <t>Техническое задание</t>
  </si>
  <si>
    <t>Технический директор — 1 чел.-дн.</t>
  </si>
  <si>
    <t>Подбор и бронирование оборудования</t>
  </si>
  <si>
    <t>Технический директор — 1 чел.-дн.
Звукорежиссёр — 1 чел.-дн.</t>
  </si>
  <si>
    <t>Логистика и доставка</t>
  </si>
  <si>
    <t>Логистика</t>
  </si>
  <si>
    <t>критический путь</t>
  </si>
  <si>
    <t>Монтаж сценического комплекса</t>
  </si>
  <si>
    <t>Технический директор — 2 чел.-дн.
Звукорежиссёр — 1 чел.-дн.</t>
  </si>
  <si>
    <t>Монтажники (подряд)
Расходные материалы</t>
  </si>
  <si>
    <t>Настройка звука и света</t>
  </si>
  <si>
    <t>Звукорежиссёр — 1 чел.-дн.</t>
  </si>
  <si>
    <t>4 (СС + 1 день)</t>
  </si>
  <si>
    <t>Технический прогон</t>
  </si>
  <si>
    <t>веха · 0 дней</t>
  </si>
  <si>
    <t>Мероприятие и демонтаж</t>
  </si>
  <si>
    <t>Технический директор</t>
  </si>
  <si>
    <t>Звукорежиссёр</t>
  </si>
  <si>
    <t>Монтажники (подряд)</t>
  </si>
  <si>
    <t>Расходные материалы</t>
  </si>
  <si>
    <t>Команда 3. Развлекательная и нетворкинг-зона</t>
  </si>
  <si>
    <t>Доход 1 150 000 ₽ · себестоимость 851 000 ₽ · маржа 26% · 6 дней</t>
  </si>
  <si>
    <t>Концепция активностей</t>
  </si>
  <si>
    <t>Креативный продюсер — 1 чел.-дн.
Координатор — 1 чел.-дн.</t>
  </si>
  <si>
    <t>Подбор ведущих и артистов</t>
  </si>
  <si>
    <t>Креативный продюсер — 1 чел.-дн.</t>
  </si>
  <si>
    <t>дефицитный ресурс</t>
  </si>
  <si>
    <t>Закупка реквизита</t>
  </si>
  <si>
    <t>Координатор — 1 чел.-дн.</t>
  </si>
  <si>
    <t>Реквизит</t>
  </si>
  <si>
    <t>параллельно задаче 2</t>
  </si>
  <si>
    <t>Застройка зоны</t>
  </si>
  <si>
    <t>Креативный продюсер — 2 чел.-дн.
Координатор — 2 чел.-дн.</t>
  </si>
  <si>
    <t>2; 3</t>
  </si>
  <si>
    <t>Застройка (подряд)</t>
  </si>
  <si>
    <t>Тестовый прогон активностей</t>
  </si>
  <si>
    <t>Креативный продюсер — 1 чел.-дн.
Ведущий — 1 чел.-дн.
Координатор — 1 чел.-дн.</t>
  </si>
  <si>
    <t>4</t>
  </si>
  <si>
    <t>Проведение</t>
  </si>
  <si>
    <t>5</t>
  </si>
  <si>
    <t>Прочие расходы</t>
  </si>
  <si>
    <t>Креативный продюсер</t>
  </si>
  <si>
    <t>Ведущий</t>
  </si>
  <si>
    <t>Координатор</t>
  </si>
  <si>
    <t>Сверка: сумма по задачам (строка 11) должна совпасть с этой строкой.</t>
  </si>
  <si>
    <t>Команда 4. Мерч и брендирование</t>
  </si>
  <si>
    <t>Дизайн-макеты</t>
  </si>
  <si>
    <t>Дизайнер — 1 чел.-дн.
Менеджер проекта — 1 чел.-дн.</t>
  </si>
  <si>
    <t>Согласование макетов с заказчиком</t>
  </si>
  <si>
    <t>Печать тиража</t>
  </si>
  <si>
    <t>Дизайнер — 2 чел.-дн.
Менеджер проекта — 2 чел.-дн.
Контроль качества — 2 чел.-дн.</t>
  </si>
  <si>
    <t>Контроль качества</t>
  </si>
  <si>
    <t>Упаковка и комплектация</t>
  </si>
  <si>
    <t>Менеджер проекта — 1 чел.-дн.
Контроль качества — 1 чел.-дн.
Дизайнер — 1 чел.-дн.</t>
  </si>
  <si>
    <t>Упаковка</t>
  </si>
  <si>
    <t>Логистика на площадку</t>
  </si>
  <si>
    <t>Менеджер проекта — 1 чел.-дн.</t>
  </si>
  <si>
    <t>Раздача участникам</t>
  </si>
  <si>
    <t>Дизайнер</t>
  </si>
  <si>
    <t>Команда 5. Трансфер и логистика гостей</t>
  </si>
  <si>
    <t>Доход 1 180 000 ₽ · себестоимость 885 000 ₽ · маржа 25% · 6 дней</t>
  </si>
  <si>
    <t>Сбор списков гостей</t>
  </si>
  <si>
    <t>Логист — 2 чел.-дн.
Координатор — 2 чел.-дн.
Диспетчерская — 2 чел.-дн.</t>
  </si>
  <si>
    <t>внешняя зависимость</t>
  </si>
  <si>
    <t>Маршруты и расписание</t>
  </si>
  <si>
    <t>Логист — 1 чел.-дн.
Координатор — 1 чел.-дн.
Диспетчерская — 1 чел.-дн.</t>
  </si>
  <si>
    <t>Договор с перевозчиком</t>
  </si>
  <si>
    <t>Перевозчик (подряд)</t>
  </si>
  <si>
    <t>Бронирование трансферов</t>
  </si>
  <si>
    <t>Логист — 1 чел.-дн.
Координатор — 1 чел.-дн.</t>
  </si>
  <si>
    <t>Резервные такси</t>
  </si>
  <si>
    <t>Диспетчерская подготовка и тест</t>
  </si>
  <si>
    <t>Диспетчерская — 1 чел.-дн.</t>
  </si>
  <si>
    <t>веха · параллельно задаче 4</t>
  </si>
  <si>
    <t>Координация в День Х</t>
  </si>
  <si>
    <t>Логист</t>
  </si>
  <si>
    <t>Диспетчерская</t>
  </si>
  <si>
    <t>Команда 6. Афтепати</t>
  </si>
  <si>
    <t>Доход 1 220 000 ₽ · себестоимость 915 000 ₽ · маржа 25% · 6 дней</t>
  </si>
  <si>
    <t>Подбор и бронирование площадки</t>
  </si>
  <si>
    <t>Продюсер — 1 чел.-дн.</t>
  </si>
  <si>
    <t>Аренда площадки</t>
  </si>
  <si>
    <t>Согласование программы</t>
  </si>
  <si>
    <t>Артисты и диджей</t>
  </si>
  <si>
    <t>Оформление лицензий и разрешений</t>
  </si>
  <si>
    <t>Охрана</t>
  </si>
  <si>
    <t>внешняя зависимость · загрузка 50%</t>
  </si>
  <si>
    <t>Декор, свет, звук</t>
  </si>
  <si>
    <t>Продюсер — 1 чел.-дн.
Диджей — 1 чел.-дн.</t>
  </si>
  <si>
    <t>Свет и декор</t>
  </si>
  <si>
    <t>критический путь · загрузка 50%</t>
  </si>
  <si>
    <t>Проведение и закрытие площадки</t>
  </si>
  <si>
    <t>Бар и кейтеринг</t>
  </si>
  <si>
    <t>Продюсер</t>
  </si>
  <si>
    <t>Диджей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</si>
</sst>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4"/>
      <color rgb="FF1F2350"/>
      <name val="Arial"/>
      <family val="2"/>
    </font>
    <font>
      <i/>
      <sz val="10"/>
      <color rgb="FF666666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222222"/>
      <name val="Arial"/>
      <family val="2"/>
    </font>
    <font>
      <b/>
      <sz val="10"/>
      <color rgb="FF5B57D1"/>
      <name val="Arial"/>
      <family val="2"/>
    </font>
    <font>
      <b/>
      <sz val="12"/>
      <color rgb="FF1F2350"/>
      <name val="Arial"/>
      <family val="2"/>
    </font>
    <font>
      <b/>
      <sz val="11"/>
      <color rgb="FF222222"/>
      <name val="Arial"/>
      <family val="2"/>
    </font>
    <font>
      <b/>
      <sz val="11"/>
      <color rgb="FF5B57D1"/>
      <name val="Arial"/>
      <family val="2"/>
    </font>
    <font>
      <i/>
      <sz val="9"/>
      <color rgb="FF666666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67E22"/>
        <bgColor rgb="FFC9971A"/>
      </patternFill>
    </fill>
    <fill>
      <patternFill patternType="solid">
        <fgColor rgb="FFEDEBFB"/>
        <bgColor rgb="FFFFFFFF"/>
      </patternFill>
    </fill>
    <fill>
      <patternFill patternType="solid">
        <fgColor rgb="FF2E86DE"/>
        <bgColor rgb="FF0066CC"/>
      </patternFill>
    </fill>
    <fill>
      <patternFill patternType="solid">
        <fgColor rgb="FF8E44AD"/>
        <bgColor rgb="FF993366"/>
      </patternFill>
    </fill>
    <fill>
      <patternFill patternType="solid">
        <fgColor rgb="FFE74C3C"/>
        <bgColor rgb="FFE67E22"/>
      </patternFill>
    </fill>
    <fill>
      <patternFill patternType="solid">
        <fgColor rgb="FF27AE60"/>
        <bgColor rgb="FF008080"/>
      </patternFill>
    </fill>
    <fill>
      <patternFill patternType="solid">
        <fgColor rgb="FFC9971A"/>
        <bgColor rgb="FFE67E2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right" vertical="center"/>
    </xf>
    <xf numFmtId="0" fontId="7" fillId="0" borderId="0" xfId="0" applyFont="1"/>
    <xf numFmtId="0" fontId="8" fillId="3" borderId="1" xfId="0" applyFont="1" applyFill="1" applyBorder="1" applyAlignment="1">
      <alignment horizontal="left" vertical="center"/>
    </xf>
    <xf numFmtId="3" fontId="9" fillId="3" borderId="1" xfId="0" applyNumberFormat="1" applyFont="1" applyFill="1" applyBorder="1" applyAlignment="1">
      <alignment horizontal="right" vertical="center"/>
    </xf>
    <xf numFmtId="0" fontId="10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8E44AD"/>
      <rgbColor rgb="FFFFFFCC"/>
      <rgbColor rgb="FFEDEBFB"/>
      <rgbColor rgb="FF660066"/>
      <rgbColor rgb="FFE74C3C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86DE"/>
      <rgbColor rgb="FF33CCCC"/>
      <rgbColor rgb="FF99CC00"/>
      <rgbColor rgb="FFFFCC00"/>
      <rgbColor rgb="FFC9971A"/>
      <rgbColor rgb="FFE67E22"/>
      <rgbColor rgb="FF666666"/>
      <rgbColor rgb="FF969696"/>
      <rgbColor rgb="FF1F2350"/>
      <rgbColor rgb="FF27AE60"/>
      <rgbColor rgb="FF003300"/>
      <rgbColor rgb="FF333300"/>
      <rgbColor rgb="FF993300"/>
      <rgbColor rgb="FF993366"/>
      <rgbColor rgb="FF5B57D1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3"/>
  <sheetViews>
    <sheetView tabSelected="1" topLeftCell="A3" zoomScaleNormal="100" workbookViewId="0">
      <selection activeCell="G12" sqref="G12"/>
    </sheetView>
  </sheetViews>
  <sheetFormatPr baseColWidth="10" defaultColWidth="8.6640625" defaultRowHeight="15" x14ac:dyDescent="0.2"/>
  <cols>
    <col min="1" max="1" width="29.5" customWidth="1"/>
    <col min="2" max="2" width="36" customWidth="1"/>
    <col min="3" max="3" width="14" customWidth="1"/>
    <col min="4" max="4" width="15" customWidth="1"/>
    <col min="5" max="5" width="34" customWidth="1"/>
    <col min="6" max="6" width="14" customWidth="1"/>
    <col min="7" max="7" width="17" customWidth="1"/>
    <col min="8" max="8" width="24" customWidth="1"/>
    <col min="9" max="9" width="16" customWidth="1"/>
    <col min="10" max="10" width="26" customWidth="1"/>
  </cols>
  <sheetData>
    <row r="1" spans="1:10" ht="18" x14ac:dyDescent="0.2">
      <c r="A1" s="1" t="s">
        <v>0</v>
      </c>
    </row>
    <row r="2" spans="1:10" x14ac:dyDescent="0.2">
      <c r="A2" s="2" t="s">
        <v>1</v>
      </c>
    </row>
    <row r="4" spans="1:10" ht="31.5" customHeight="1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ht="28" x14ac:dyDescent="0.2">
      <c r="A5" s="4">
        <v>1</v>
      </c>
      <c r="B5" s="5" t="s">
        <v>12</v>
      </c>
      <c r="C5" s="4">
        <v>1</v>
      </c>
      <c r="D5" s="4">
        <v>2</v>
      </c>
      <c r="E5" s="5" t="s">
        <v>13</v>
      </c>
      <c r="F5" s="6" t="s">
        <v>14</v>
      </c>
      <c r="G5" s="7">
        <v>33000</v>
      </c>
      <c r="H5" s="5" t="s">
        <v>14</v>
      </c>
      <c r="I5" s="8" t="s">
        <v>14</v>
      </c>
      <c r="J5" s="5" t="s">
        <v>15</v>
      </c>
    </row>
    <row r="6" spans="1:10" ht="42" x14ac:dyDescent="0.2">
      <c r="A6" s="4">
        <v>2</v>
      </c>
      <c r="B6" s="5" t="s">
        <v>16</v>
      </c>
      <c r="C6" s="4">
        <v>1</v>
      </c>
      <c r="D6" s="4">
        <v>3</v>
      </c>
      <c r="E6" s="5" t="s">
        <v>17</v>
      </c>
      <c r="F6" s="6" t="s">
        <v>18</v>
      </c>
      <c r="G6" s="7">
        <v>45000</v>
      </c>
      <c r="H6" s="5" t="s">
        <v>14</v>
      </c>
      <c r="I6" s="8" t="s">
        <v>14</v>
      </c>
      <c r="J6" s="5"/>
    </row>
    <row r="7" spans="1:10" ht="28" x14ac:dyDescent="0.2">
      <c r="A7" s="4">
        <v>3</v>
      </c>
      <c r="B7" s="5" t="s">
        <v>19</v>
      </c>
      <c r="C7" s="4">
        <v>1</v>
      </c>
      <c r="D7" s="4">
        <v>2</v>
      </c>
      <c r="E7" s="5" t="s">
        <v>20</v>
      </c>
      <c r="F7" s="6" t="s">
        <v>21</v>
      </c>
      <c r="G7" s="7">
        <v>30000</v>
      </c>
      <c r="H7" s="5" t="s">
        <v>22</v>
      </c>
      <c r="I7" s="7">
        <v>380000</v>
      </c>
      <c r="J7" s="5" t="s">
        <v>23</v>
      </c>
    </row>
    <row r="8" spans="1:10" x14ac:dyDescent="0.2">
      <c r="A8" s="4">
        <v>4</v>
      </c>
      <c r="B8" s="5" t="s">
        <v>24</v>
      </c>
      <c r="C8" s="4">
        <v>2</v>
      </c>
      <c r="D8" s="4">
        <v>2</v>
      </c>
      <c r="E8" s="5" t="s">
        <v>25</v>
      </c>
      <c r="F8" s="6" t="s">
        <v>21</v>
      </c>
      <c r="G8" s="7">
        <v>30000</v>
      </c>
      <c r="H8" s="5" t="s">
        <v>26</v>
      </c>
      <c r="I8" s="7">
        <v>202000</v>
      </c>
      <c r="J8" s="5" t="s">
        <v>27</v>
      </c>
    </row>
    <row r="9" spans="1:10" ht="28" x14ac:dyDescent="0.2">
      <c r="A9" s="4">
        <v>5</v>
      </c>
      <c r="B9" s="5" t="s">
        <v>28</v>
      </c>
      <c r="C9" s="4">
        <v>1</v>
      </c>
      <c r="D9" s="4">
        <v>2</v>
      </c>
      <c r="E9" s="5" t="s">
        <v>20</v>
      </c>
      <c r="F9" s="6" t="s">
        <v>29</v>
      </c>
      <c r="G9" s="7">
        <v>30000</v>
      </c>
      <c r="H9" s="5" t="s">
        <v>14</v>
      </c>
      <c r="I9" s="8" t="s">
        <v>14</v>
      </c>
      <c r="J9" s="5"/>
    </row>
    <row r="10" spans="1:10" ht="42" x14ac:dyDescent="0.2">
      <c r="A10" s="4">
        <v>6</v>
      </c>
      <c r="B10" s="5" t="s">
        <v>30</v>
      </c>
      <c r="C10" s="4">
        <v>1</v>
      </c>
      <c r="D10" s="4">
        <v>3</v>
      </c>
      <c r="E10" s="5" t="s">
        <v>17</v>
      </c>
      <c r="F10" s="6" t="s">
        <v>31</v>
      </c>
      <c r="G10" s="7">
        <v>45000</v>
      </c>
      <c r="H10" s="5" t="s">
        <v>14</v>
      </c>
      <c r="I10" s="8" t="s">
        <v>14</v>
      </c>
      <c r="J10" s="5"/>
    </row>
    <row r="11" spans="1:10" ht="42" x14ac:dyDescent="0.2">
      <c r="A11" s="4">
        <v>7</v>
      </c>
      <c r="B11" s="5" t="s">
        <v>32</v>
      </c>
      <c r="C11" s="4">
        <v>1</v>
      </c>
      <c r="D11" s="4">
        <v>3</v>
      </c>
      <c r="E11" s="5" t="s">
        <v>17</v>
      </c>
      <c r="F11" s="6" t="s">
        <v>33</v>
      </c>
      <c r="G11" s="7">
        <v>45000</v>
      </c>
      <c r="H11" s="5" t="s">
        <v>34</v>
      </c>
      <c r="I11" s="7">
        <v>60000</v>
      </c>
      <c r="J11" s="5" t="s">
        <v>35</v>
      </c>
    </row>
    <row r="12" spans="1:10" x14ac:dyDescent="0.2">
      <c r="A12" s="9"/>
      <c r="B12" s="9" t="s">
        <v>36</v>
      </c>
      <c r="C12" s="9"/>
      <c r="D12" s="10">
        <f>SUM(D5:D11)</f>
        <v>17</v>
      </c>
      <c r="E12" s="9"/>
      <c r="F12" s="9"/>
      <c r="G12" s="11">
        <f>SUM(G5:G11)</f>
        <v>258000</v>
      </c>
      <c r="H12" s="9"/>
      <c r="I12" s="11">
        <f>SUM(I5:I11)</f>
        <v>642000</v>
      </c>
      <c r="J12" s="9"/>
    </row>
    <row r="14" spans="1:10" ht="16" x14ac:dyDescent="0.2">
      <c r="A14" s="12" t="s">
        <v>37</v>
      </c>
    </row>
    <row r="15" spans="1:10" ht="70" x14ac:dyDescent="0.2">
      <c r="A15" s="3" t="s">
        <v>38</v>
      </c>
      <c r="B15" s="3" t="s">
        <v>39</v>
      </c>
      <c r="C15" s="3" t="s">
        <v>40</v>
      </c>
      <c r="D15" s="3" t="s">
        <v>41</v>
      </c>
      <c r="E15" s="3" t="s">
        <v>42</v>
      </c>
    </row>
    <row r="16" spans="1:10" x14ac:dyDescent="0.2">
      <c r="A16" s="6" t="s">
        <v>43</v>
      </c>
      <c r="B16" s="4" t="s">
        <v>44</v>
      </c>
      <c r="C16" s="7">
        <v>18000</v>
      </c>
      <c r="D16" s="4">
        <v>6</v>
      </c>
      <c r="E16" s="7">
        <f>C16*D16</f>
        <v>108000</v>
      </c>
    </row>
    <row r="17" spans="1:5" x14ac:dyDescent="0.2">
      <c r="A17" s="6" t="s">
        <v>45</v>
      </c>
      <c r="B17" s="4" t="s">
        <v>44</v>
      </c>
      <c r="C17" s="7">
        <v>12000</v>
      </c>
      <c r="D17" s="4">
        <v>5</v>
      </c>
      <c r="E17" s="7">
        <f>C17*D17</f>
        <v>60000</v>
      </c>
    </row>
    <row r="18" spans="1:5" x14ac:dyDescent="0.2">
      <c r="A18" s="6" t="s">
        <v>46</v>
      </c>
      <c r="B18" s="4" t="s">
        <v>44</v>
      </c>
      <c r="C18" s="7">
        <v>15000</v>
      </c>
      <c r="D18" s="4">
        <v>6</v>
      </c>
      <c r="E18" s="7">
        <f>C18*D18</f>
        <v>90000</v>
      </c>
    </row>
    <row r="19" spans="1:5" x14ac:dyDescent="0.2">
      <c r="A19" s="6" t="s">
        <v>34</v>
      </c>
      <c r="B19" s="4" t="s">
        <v>9</v>
      </c>
      <c r="C19" s="8" t="s">
        <v>14</v>
      </c>
      <c r="D19" s="4" t="s">
        <v>14</v>
      </c>
      <c r="E19" s="7">
        <v>60000</v>
      </c>
    </row>
    <row r="20" spans="1:5" x14ac:dyDescent="0.2">
      <c r="A20" s="6" t="s">
        <v>22</v>
      </c>
      <c r="B20" s="4" t="s">
        <v>9</v>
      </c>
      <c r="C20" s="8" t="s">
        <v>14</v>
      </c>
      <c r="D20" s="4" t="s">
        <v>14</v>
      </c>
      <c r="E20" s="7">
        <v>380000</v>
      </c>
    </row>
    <row r="21" spans="1:5" x14ac:dyDescent="0.2">
      <c r="A21" s="6" t="s">
        <v>26</v>
      </c>
      <c r="B21" s="4" t="s">
        <v>9</v>
      </c>
      <c r="C21" s="8" t="s">
        <v>14</v>
      </c>
      <c r="D21" s="4" t="s">
        <v>14</v>
      </c>
      <c r="E21" s="7">
        <v>202000</v>
      </c>
    </row>
    <row r="22" spans="1:5" x14ac:dyDescent="0.2">
      <c r="A22" s="13" t="s">
        <v>47</v>
      </c>
      <c r="B22" s="13"/>
      <c r="C22" s="13"/>
      <c r="D22" s="13"/>
      <c r="E22" s="14">
        <f>SUM(E16:E21)</f>
        <v>900000</v>
      </c>
    </row>
    <row r="23" spans="1:5" x14ac:dyDescent="0.2">
      <c r="A23" s="15" t="s">
        <v>48</v>
      </c>
    </row>
  </sheetData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23"/>
  <sheetViews>
    <sheetView zoomScaleNormal="100" workbookViewId="0">
      <selection activeCell="G16" sqref="G16"/>
    </sheetView>
  </sheetViews>
  <sheetFormatPr baseColWidth="10" defaultColWidth="8.6640625" defaultRowHeight="15" x14ac:dyDescent="0.2"/>
  <cols>
    <col min="1" max="1" width="5" customWidth="1"/>
    <col min="2" max="2" width="36" customWidth="1"/>
    <col min="3" max="3" width="14" customWidth="1"/>
    <col min="4" max="4" width="15" customWidth="1"/>
    <col min="5" max="5" width="34" customWidth="1"/>
    <col min="6" max="6" width="14" customWidth="1"/>
    <col min="7" max="7" width="17" customWidth="1"/>
    <col min="8" max="8" width="24" customWidth="1"/>
    <col min="9" max="9" width="16" customWidth="1"/>
    <col min="10" max="10" width="26" customWidth="1"/>
  </cols>
  <sheetData>
    <row r="1" spans="1:10" ht="18" x14ac:dyDescent="0.2">
      <c r="A1" s="1" t="s">
        <v>49</v>
      </c>
    </row>
    <row r="2" spans="1:10" x14ac:dyDescent="0.2">
      <c r="A2" s="2" t="s">
        <v>50</v>
      </c>
    </row>
    <row r="4" spans="1:10" ht="31.5" customHeight="1" x14ac:dyDescent="0.2">
      <c r="A4" s="16" t="s">
        <v>2</v>
      </c>
      <c r="B4" s="16" t="s">
        <v>3</v>
      </c>
      <c r="C4" s="16" t="s">
        <v>4</v>
      </c>
      <c r="D4" s="16" t="s">
        <v>5</v>
      </c>
      <c r="E4" s="16" t="s">
        <v>6</v>
      </c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</row>
    <row r="5" spans="1:10" x14ac:dyDescent="0.2">
      <c r="A5" s="4">
        <v>1</v>
      </c>
      <c r="B5" s="5" t="s">
        <v>51</v>
      </c>
      <c r="C5" s="4">
        <v>1</v>
      </c>
      <c r="D5" s="4">
        <v>1</v>
      </c>
      <c r="E5" s="5" t="s">
        <v>52</v>
      </c>
      <c r="F5" s="6" t="s">
        <v>14</v>
      </c>
      <c r="G5" s="7">
        <v>18000</v>
      </c>
      <c r="H5" s="5" t="s">
        <v>14</v>
      </c>
      <c r="I5" s="8" t="s">
        <v>14</v>
      </c>
      <c r="J5" s="5" t="s">
        <v>15</v>
      </c>
    </row>
    <row r="6" spans="1:10" ht="28" x14ac:dyDescent="0.2">
      <c r="A6" s="4">
        <v>2</v>
      </c>
      <c r="B6" s="5" t="s">
        <v>53</v>
      </c>
      <c r="C6" s="4">
        <v>1</v>
      </c>
      <c r="D6" s="4">
        <v>2</v>
      </c>
      <c r="E6" s="5" t="s">
        <v>54</v>
      </c>
      <c r="F6" s="6" t="s">
        <v>18</v>
      </c>
      <c r="G6" s="7">
        <v>33000</v>
      </c>
      <c r="H6" s="5" t="s">
        <v>26</v>
      </c>
      <c r="I6" s="7">
        <v>480000</v>
      </c>
      <c r="J6" s="5"/>
    </row>
    <row r="7" spans="1:10" x14ac:dyDescent="0.2">
      <c r="A7" s="4">
        <v>3</v>
      </c>
      <c r="B7" s="5" t="s">
        <v>55</v>
      </c>
      <c r="C7" s="4">
        <v>1</v>
      </c>
      <c r="D7" s="4">
        <v>1</v>
      </c>
      <c r="E7" s="5" t="s">
        <v>52</v>
      </c>
      <c r="F7" s="6" t="s">
        <v>21</v>
      </c>
      <c r="G7" s="7">
        <v>18000</v>
      </c>
      <c r="H7" s="5" t="s">
        <v>56</v>
      </c>
      <c r="I7" s="7">
        <v>82000</v>
      </c>
      <c r="J7" s="5" t="s">
        <v>57</v>
      </c>
    </row>
    <row r="8" spans="1:10" ht="28" x14ac:dyDescent="0.2">
      <c r="A8" s="4">
        <v>4</v>
      </c>
      <c r="B8" s="5" t="s">
        <v>58</v>
      </c>
      <c r="C8" s="4">
        <v>2</v>
      </c>
      <c r="D8" s="4">
        <v>3</v>
      </c>
      <c r="E8" s="5" t="s">
        <v>59</v>
      </c>
      <c r="F8" s="6" t="s">
        <v>29</v>
      </c>
      <c r="G8" s="7">
        <v>51000</v>
      </c>
      <c r="H8" s="5" t="s">
        <v>60</v>
      </c>
      <c r="I8" s="7">
        <v>220000</v>
      </c>
      <c r="J8" s="5"/>
    </row>
    <row r="9" spans="1:10" x14ac:dyDescent="0.2">
      <c r="A9" s="4">
        <v>5</v>
      </c>
      <c r="B9" s="5" t="s">
        <v>61</v>
      </c>
      <c r="C9" s="4">
        <v>1</v>
      </c>
      <c r="D9" s="4">
        <v>1</v>
      </c>
      <c r="E9" s="5" t="s">
        <v>62</v>
      </c>
      <c r="F9" s="6" t="s">
        <v>63</v>
      </c>
      <c r="G9" s="7">
        <v>15000</v>
      </c>
      <c r="H9" s="5" t="s">
        <v>14</v>
      </c>
      <c r="I9" s="8" t="s">
        <v>14</v>
      </c>
      <c r="J9" s="5"/>
    </row>
    <row r="10" spans="1:10" x14ac:dyDescent="0.2">
      <c r="A10" s="4">
        <v>6</v>
      </c>
      <c r="B10" s="5" t="s">
        <v>64</v>
      </c>
      <c r="C10" s="4">
        <v>0</v>
      </c>
      <c r="D10" s="4" t="s">
        <v>14</v>
      </c>
      <c r="E10" s="5" t="s">
        <v>14</v>
      </c>
      <c r="F10" s="6" t="s">
        <v>31</v>
      </c>
      <c r="G10" s="8" t="s">
        <v>14</v>
      </c>
      <c r="H10" s="5" t="s">
        <v>14</v>
      </c>
      <c r="I10" s="8" t="s">
        <v>14</v>
      </c>
      <c r="J10" s="5" t="s">
        <v>65</v>
      </c>
    </row>
    <row r="11" spans="1:10" ht="28" x14ac:dyDescent="0.2">
      <c r="A11" s="4">
        <v>7</v>
      </c>
      <c r="B11" s="5" t="s">
        <v>66</v>
      </c>
      <c r="C11" s="4">
        <v>1</v>
      </c>
      <c r="D11" s="4">
        <v>2</v>
      </c>
      <c r="E11" s="5" t="s">
        <v>54</v>
      </c>
      <c r="F11" s="6" t="s">
        <v>33</v>
      </c>
      <c r="G11" s="7">
        <v>33000</v>
      </c>
      <c r="H11" s="5" t="s">
        <v>14</v>
      </c>
      <c r="I11" s="8" t="s">
        <v>14</v>
      </c>
      <c r="J11" s="5" t="s">
        <v>35</v>
      </c>
    </row>
    <row r="12" spans="1:10" x14ac:dyDescent="0.2">
      <c r="A12" s="9"/>
      <c r="B12" s="9" t="s">
        <v>36</v>
      </c>
      <c r="C12" s="9"/>
      <c r="D12" s="10">
        <f>SUM(D5:D11)</f>
        <v>10</v>
      </c>
      <c r="E12" s="9"/>
      <c r="F12" s="9"/>
      <c r="G12" s="11">
        <f>SUM(G5:G11)</f>
        <v>168000</v>
      </c>
      <c r="H12" s="9"/>
      <c r="I12" s="11">
        <f>SUM(I5:I11)</f>
        <v>782000</v>
      </c>
      <c r="J12" s="9"/>
    </row>
    <row r="14" spans="1:10" ht="16" x14ac:dyDescent="0.2">
      <c r="A14" s="12" t="s">
        <v>37</v>
      </c>
    </row>
    <row r="15" spans="1:10" ht="70" x14ac:dyDescent="0.2">
      <c r="A15" s="16" t="s">
        <v>38</v>
      </c>
      <c r="B15" s="16" t="s">
        <v>39</v>
      </c>
      <c r="C15" s="16" t="s">
        <v>40</v>
      </c>
      <c r="D15" s="16" t="s">
        <v>41</v>
      </c>
      <c r="E15" s="16" t="s">
        <v>42</v>
      </c>
    </row>
    <row r="16" spans="1:10" x14ac:dyDescent="0.2">
      <c r="A16" s="6" t="s">
        <v>67</v>
      </c>
      <c r="B16" s="4" t="s">
        <v>44</v>
      </c>
      <c r="C16" s="7">
        <v>18000</v>
      </c>
      <c r="D16" s="4">
        <v>6</v>
      </c>
      <c r="E16" s="7">
        <f>C16*D16</f>
        <v>108000</v>
      </c>
    </row>
    <row r="17" spans="1:5" x14ac:dyDescent="0.2">
      <c r="A17" s="6" t="s">
        <v>68</v>
      </c>
      <c r="B17" s="4" t="s">
        <v>44</v>
      </c>
      <c r="C17" s="7">
        <v>15000</v>
      </c>
      <c r="D17" s="4">
        <v>4</v>
      </c>
      <c r="E17" s="7">
        <f>C17*D17</f>
        <v>60000</v>
      </c>
    </row>
    <row r="18" spans="1:5" x14ac:dyDescent="0.2">
      <c r="A18" s="6" t="s">
        <v>69</v>
      </c>
      <c r="B18" s="4" t="s">
        <v>9</v>
      </c>
      <c r="C18" s="8" t="s">
        <v>14</v>
      </c>
      <c r="D18" s="4" t="s">
        <v>14</v>
      </c>
      <c r="E18" s="7">
        <v>150000</v>
      </c>
    </row>
    <row r="19" spans="1:5" x14ac:dyDescent="0.2">
      <c r="A19" s="6" t="s">
        <v>26</v>
      </c>
      <c r="B19" s="4" t="s">
        <v>9</v>
      </c>
      <c r="C19" s="8" t="s">
        <v>14</v>
      </c>
      <c r="D19" s="4" t="s">
        <v>14</v>
      </c>
      <c r="E19" s="7">
        <v>480000</v>
      </c>
    </row>
    <row r="20" spans="1:5" x14ac:dyDescent="0.2">
      <c r="A20" s="6" t="s">
        <v>56</v>
      </c>
      <c r="B20" s="4" t="s">
        <v>9</v>
      </c>
      <c r="C20" s="8" t="s">
        <v>14</v>
      </c>
      <c r="D20" s="4" t="s">
        <v>14</v>
      </c>
      <c r="E20" s="7">
        <v>82000</v>
      </c>
    </row>
    <row r="21" spans="1:5" x14ac:dyDescent="0.2">
      <c r="A21" s="6" t="s">
        <v>70</v>
      </c>
      <c r="B21" s="4" t="s">
        <v>9</v>
      </c>
      <c r="C21" s="8" t="s">
        <v>14</v>
      </c>
      <c r="D21" s="4" t="s">
        <v>14</v>
      </c>
      <c r="E21" s="7">
        <v>70000</v>
      </c>
    </row>
    <row r="22" spans="1:5" x14ac:dyDescent="0.2">
      <c r="A22" s="13" t="s">
        <v>47</v>
      </c>
      <c r="B22" s="13"/>
      <c r="C22" s="13"/>
      <c r="D22" s="13"/>
      <c r="E22" s="14">
        <f>SUM(E16:E21)</f>
        <v>950000</v>
      </c>
    </row>
    <row r="23" spans="1:5" x14ac:dyDescent="0.2">
      <c r="A23" s="15" t="s">
        <v>48</v>
      </c>
    </row>
  </sheetData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22"/>
  <sheetViews>
    <sheetView zoomScaleNormal="100" workbookViewId="0"/>
  </sheetViews>
  <sheetFormatPr baseColWidth="10" defaultColWidth="8.6640625" defaultRowHeight="15" x14ac:dyDescent="0.2"/>
  <cols>
    <col min="1" max="1" width="5" customWidth="1"/>
    <col min="2" max="2" width="36" customWidth="1"/>
    <col min="3" max="3" width="14" customWidth="1"/>
    <col min="4" max="4" width="15" customWidth="1"/>
    <col min="5" max="5" width="34" customWidth="1"/>
    <col min="6" max="6" width="14" customWidth="1"/>
    <col min="7" max="7" width="17" customWidth="1"/>
    <col min="8" max="8" width="24" customWidth="1"/>
    <col min="9" max="9" width="16" customWidth="1"/>
    <col min="10" max="10" width="26" customWidth="1"/>
  </cols>
  <sheetData>
    <row r="1" spans="1:10" ht="18" x14ac:dyDescent="0.2">
      <c r="A1" s="1" t="s">
        <v>71</v>
      </c>
    </row>
    <row r="2" spans="1:10" x14ac:dyDescent="0.2">
      <c r="A2" s="2" t="s">
        <v>72</v>
      </c>
    </row>
    <row r="4" spans="1:10" ht="31.5" customHeight="1" x14ac:dyDescent="0.2">
      <c r="A4" s="17" t="s">
        <v>2</v>
      </c>
      <c r="B4" s="17" t="s">
        <v>3</v>
      </c>
      <c r="C4" s="17" t="s">
        <v>4</v>
      </c>
      <c r="D4" s="17" t="s">
        <v>5</v>
      </c>
      <c r="E4" s="17" t="s">
        <v>6</v>
      </c>
      <c r="F4" s="17" t="s">
        <v>7</v>
      </c>
      <c r="G4" s="17" t="s">
        <v>8</v>
      </c>
      <c r="H4" s="17" t="s">
        <v>9</v>
      </c>
      <c r="I4" s="17" t="s">
        <v>10</v>
      </c>
      <c r="J4" s="17" t="s">
        <v>11</v>
      </c>
    </row>
    <row r="5" spans="1:10" ht="28" x14ac:dyDescent="0.2">
      <c r="A5" s="4">
        <v>1</v>
      </c>
      <c r="B5" s="5" t="s">
        <v>73</v>
      </c>
      <c r="C5" s="4">
        <v>1</v>
      </c>
      <c r="D5" s="4">
        <v>2</v>
      </c>
      <c r="E5" s="5" t="s">
        <v>74</v>
      </c>
      <c r="F5" s="6" t="s">
        <v>14</v>
      </c>
      <c r="G5" s="7">
        <v>28000</v>
      </c>
      <c r="H5" s="5" t="s">
        <v>14</v>
      </c>
      <c r="I5" s="8" t="s">
        <v>14</v>
      </c>
      <c r="J5" s="5" t="s">
        <v>15</v>
      </c>
    </row>
    <row r="6" spans="1:10" x14ac:dyDescent="0.2">
      <c r="A6" s="4">
        <v>2</v>
      </c>
      <c r="B6" s="5" t="s">
        <v>75</v>
      </c>
      <c r="C6" s="4">
        <v>1</v>
      </c>
      <c r="D6" s="4">
        <v>1</v>
      </c>
      <c r="E6" s="5" t="s">
        <v>76</v>
      </c>
      <c r="F6" s="6" t="s">
        <v>18</v>
      </c>
      <c r="G6" s="7">
        <v>16000</v>
      </c>
      <c r="H6" s="5" t="s">
        <v>14</v>
      </c>
      <c r="I6" s="8" t="s">
        <v>14</v>
      </c>
      <c r="J6" s="5" t="s">
        <v>77</v>
      </c>
    </row>
    <row r="7" spans="1:10" x14ac:dyDescent="0.2">
      <c r="A7" s="4">
        <v>3</v>
      </c>
      <c r="B7" s="5" t="s">
        <v>78</v>
      </c>
      <c r="C7" s="4">
        <v>1</v>
      </c>
      <c r="D7" s="4">
        <v>1</v>
      </c>
      <c r="E7" s="5" t="s">
        <v>79</v>
      </c>
      <c r="F7" s="6" t="s">
        <v>18</v>
      </c>
      <c r="G7" s="7">
        <v>12000</v>
      </c>
      <c r="H7" s="5" t="s">
        <v>80</v>
      </c>
      <c r="I7" s="7">
        <v>260000</v>
      </c>
      <c r="J7" s="5" t="s">
        <v>81</v>
      </c>
    </row>
    <row r="8" spans="1:10" ht="28" x14ac:dyDescent="0.2">
      <c r="A8" s="4">
        <v>4</v>
      </c>
      <c r="B8" s="5" t="s">
        <v>82</v>
      </c>
      <c r="C8" s="4">
        <v>2</v>
      </c>
      <c r="D8" s="4">
        <v>4</v>
      </c>
      <c r="E8" s="5" t="s">
        <v>83</v>
      </c>
      <c r="F8" s="6" t="s">
        <v>84</v>
      </c>
      <c r="G8" s="7">
        <v>56000</v>
      </c>
      <c r="H8" s="5" t="s">
        <v>85</v>
      </c>
      <c r="I8" s="7">
        <v>300000</v>
      </c>
      <c r="J8" s="5" t="s">
        <v>57</v>
      </c>
    </row>
    <row r="9" spans="1:10" ht="42" x14ac:dyDescent="0.2">
      <c r="A9" s="4">
        <v>5</v>
      </c>
      <c r="B9" s="5" t="s">
        <v>86</v>
      </c>
      <c r="C9" s="4">
        <v>1</v>
      </c>
      <c r="D9" s="4">
        <v>3</v>
      </c>
      <c r="E9" s="5" t="s">
        <v>87</v>
      </c>
      <c r="F9" s="6" t="s">
        <v>88</v>
      </c>
      <c r="G9" s="7">
        <v>68000</v>
      </c>
      <c r="H9" s="5" t="s">
        <v>14</v>
      </c>
      <c r="I9" s="8" t="s">
        <v>14</v>
      </c>
      <c r="J9" s="5" t="s">
        <v>15</v>
      </c>
    </row>
    <row r="10" spans="1:10" ht="42" x14ac:dyDescent="0.2">
      <c r="A10" s="4">
        <v>6</v>
      </c>
      <c r="B10" s="5" t="s">
        <v>89</v>
      </c>
      <c r="C10" s="4">
        <v>1</v>
      </c>
      <c r="D10" s="4">
        <v>3</v>
      </c>
      <c r="E10" s="5" t="s">
        <v>87</v>
      </c>
      <c r="F10" s="6" t="s">
        <v>90</v>
      </c>
      <c r="G10" s="7">
        <v>68000</v>
      </c>
      <c r="H10" s="5" t="s">
        <v>91</v>
      </c>
      <c r="I10" s="7">
        <v>43000</v>
      </c>
      <c r="J10" s="5" t="s">
        <v>35</v>
      </c>
    </row>
    <row r="11" spans="1:10" x14ac:dyDescent="0.2">
      <c r="A11" s="9"/>
      <c r="B11" s="9" t="s">
        <v>36</v>
      </c>
      <c r="C11" s="9"/>
      <c r="D11" s="10">
        <f>SUM(D5:D10)</f>
        <v>14</v>
      </c>
      <c r="E11" s="9"/>
      <c r="F11" s="9"/>
      <c r="G11" s="11">
        <f>SUM(G5:G10)</f>
        <v>248000</v>
      </c>
      <c r="H11" s="9"/>
      <c r="I11" s="11">
        <f>SUM(I5:I10)</f>
        <v>603000</v>
      </c>
      <c r="J11" s="9"/>
    </row>
    <row r="13" spans="1:10" ht="16" x14ac:dyDescent="0.2">
      <c r="A13" s="12" t="s">
        <v>37</v>
      </c>
    </row>
    <row r="14" spans="1:10" ht="70" x14ac:dyDescent="0.2">
      <c r="A14" s="17" t="s">
        <v>38</v>
      </c>
      <c r="B14" s="17" t="s">
        <v>39</v>
      </c>
      <c r="C14" s="17" t="s">
        <v>40</v>
      </c>
      <c r="D14" s="17" t="s">
        <v>41</v>
      </c>
      <c r="E14" s="17" t="s">
        <v>42</v>
      </c>
    </row>
    <row r="15" spans="1:10" x14ac:dyDescent="0.2">
      <c r="A15" s="6" t="s">
        <v>92</v>
      </c>
      <c r="B15" s="4" t="s">
        <v>44</v>
      </c>
      <c r="C15" s="7">
        <v>16000</v>
      </c>
      <c r="D15" s="4">
        <v>6</v>
      </c>
      <c r="E15" s="7">
        <f>C15*D15</f>
        <v>96000</v>
      </c>
    </row>
    <row r="16" spans="1:10" x14ac:dyDescent="0.2">
      <c r="A16" s="6" t="s">
        <v>93</v>
      </c>
      <c r="B16" s="4" t="s">
        <v>44</v>
      </c>
      <c r="C16" s="7">
        <v>40000</v>
      </c>
      <c r="D16" s="4">
        <v>2</v>
      </c>
      <c r="E16" s="7">
        <f>C16*D16</f>
        <v>80000</v>
      </c>
    </row>
    <row r="17" spans="1:5" x14ac:dyDescent="0.2">
      <c r="A17" s="6" t="s">
        <v>94</v>
      </c>
      <c r="B17" s="4" t="s">
        <v>44</v>
      </c>
      <c r="C17" s="7">
        <v>12000</v>
      </c>
      <c r="D17" s="4">
        <v>6</v>
      </c>
      <c r="E17" s="7">
        <f>C17*D17</f>
        <v>72000</v>
      </c>
    </row>
    <row r="18" spans="1:5" x14ac:dyDescent="0.2">
      <c r="A18" s="6" t="s">
        <v>80</v>
      </c>
      <c r="B18" s="4" t="s">
        <v>9</v>
      </c>
      <c r="C18" s="8" t="s">
        <v>14</v>
      </c>
      <c r="D18" s="4" t="s">
        <v>14</v>
      </c>
      <c r="E18" s="7">
        <v>260000</v>
      </c>
    </row>
    <row r="19" spans="1:5" x14ac:dyDescent="0.2">
      <c r="A19" s="6" t="s">
        <v>85</v>
      </c>
      <c r="B19" s="4" t="s">
        <v>9</v>
      </c>
      <c r="C19" s="8" t="s">
        <v>14</v>
      </c>
      <c r="D19" s="4" t="s">
        <v>14</v>
      </c>
      <c r="E19" s="7">
        <v>300000</v>
      </c>
    </row>
    <row r="20" spans="1:5" x14ac:dyDescent="0.2">
      <c r="A20" s="6" t="s">
        <v>91</v>
      </c>
      <c r="B20" s="4" t="s">
        <v>9</v>
      </c>
      <c r="C20" s="8" t="s">
        <v>14</v>
      </c>
      <c r="D20" s="4" t="s">
        <v>14</v>
      </c>
      <c r="E20" s="7">
        <v>43000</v>
      </c>
    </row>
    <row r="21" spans="1:5" x14ac:dyDescent="0.2">
      <c r="A21" s="13" t="s">
        <v>47</v>
      </c>
      <c r="B21" s="13"/>
      <c r="C21" s="13"/>
      <c r="D21" s="13"/>
      <c r="E21" s="14">
        <f>SUM(E15:E20)</f>
        <v>851000</v>
      </c>
    </row>
    <row r="22" spans="1:5" x14ac:dyDescent="0.2">
      <c r="A22" s="15" t="s">
        <v>95</v>
      </c>
    </row>
  </sheetData>
  <pageMargins left="0.75" right="0.75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23"/>
  <sheetViews>
    <sheetView zoomScaleNormal="100" workbookViewId="0"/>
  </sheetViews>
  <sheetFormatPr baseColWidth="10" defaultColWidth="8.6640625" defaultRowHeight="15" x14ac:dyDescent="0.2"/>
  <cols>
    <col min="1" max="1" width="5" customWidth="1"/>
    <col min="2" max="2" width="36" customWidth="1"/>
    <col min="3" max="3" width="14" customWidth="1"/>
    <col min="4" max="4" width="15" customWidth="1"/>
    <col min="5" max="5" width="34" customWidth="1"/>
    <col min="6" max="6" width="14" customWidth="1"/>
    <col min="7" max="7" width="17" customWidth="1"/>
    <col min="8" max="8" width="24" customWidth="1"/>
    <col min="9" max="9" width="16" customWidth="1"/>
    <col min="10" max="10" width="26" customWidth="1"/>
  </cols>
  <sheetData>
    <row r="1" spans="1:10" ht="18" x14ac:dyDescent="0.2">
      <c r="A1" s="1" t="s">
        <v>96</v>
      </c>
    </row>
    <row r="2" spans="1:10" x14ac:dyDescent="0.2">
      <c r="A2" s="2" t="s">
        <v>1</v>
      </c>
    </row>
    <row r="4" spans="1:10" ht="31.5" customHeight="1" x14ac:dyDescent="0.2">
      <c r="A4" s="18" t="s">
        <v>2</v>
      </c>
      <c r="B4" s="18" t="s">
        <v>3</v>
      </c>
      <c r="C4" s="18" t="s">
        <v>4</v>
      </c>
      <c r="D4" s="18" t="s">
        <v>5</v>
      </c>
      <c r="E4" s="18" t="s">
        <v>6</v>
      </c>
      <c r="F4" s="18" t="s">
        <v>7</v>
      </c>
      <c r="G4" s="18" t="s">
        <v>8</v>
      </c>
      <c r="H4" s="18" t="s">
        <v>9</v>
      </c>
      <c r="I4" s="18" t="s">
        <v>10</v>
      </c>
      <c r="J4" s="18" t="s">
        <v>11</v>
      </c>
    </row>
    <row r="5" spans="1:10" ht="28" x14ac:dyDescent="0.2">
      <c r="A5" s="4">
        <v>1</v>
      </c>
      <c r="B5" s="5" t="s">
        <v>97</v>
      </c>
      <c r="C5" s="4">
        <v>1</v>
      </c>
      <c r="D5" s="4">
        <v>2</v>
      </c>
      <c r="E5" s="5" t="s">
        <v>98</v>
      </c>
      <c r="F5" s="6" t="s">
        <v>14</v>
      </c>
      <c r="G5" s="7">
        <v>29000</v>
      </c>
      <c r="H5" s="5" t="s">
        <v>14</v>
      </c>
      <c r="I5" s="8" t="s">
        <v>14</v>
      </c>
      <c r="J5" s="5"/>
    </row>
    <row r="6" spans="1:10" ht="28" x14ac:dyDescent="0.2">
      <c r="A6" s="4">
        <v>2</v>
      </c>
      <c r="B6" s="5" t="s">
        <v>99</v>
      </c>
      <c r="C6" s="4">
        <v>1</v>
      </c>
      <c r="D6" s="4">
        <v>2</v>
      </c>
      <c r="E6" s="5" t="s">
        <v>98</v>
      </c>
      <c r="F6" s="6" t="s">
        <v>18</v>
      </c>
      <c r="G6" s="7">
        <v>29000</v>
      </c>
      <c r="H6" s="5" t="s">
        <v>14</v>
      </c>
      <c r="I6" s="8" t="s">
        <v>14</v>
      </c>
      <c r="J6" s="5" t="s">
        <v>15</v>
      </c>
    </row>
    <row r="7" spans="1:10" ht="42" x14ac:dyDescent="0.2">
      <c r="A7" s="4">
        <v>3</v>
      </c>
      <c r="B7" s="5" t="s">
        <v>100</v>
      </c>
      <c r="C7" s="4">
        <v>2</v>
      </c>
      <c r="D7" s="4">
        <v>6</v>
      </c>
      <c r="E7" s="5" t="s">
        <v>101</v>
      </c>
      <c r="F7" s="6" t="s">
        <v>21</v>
      </c>
      <c r="G7" s="7">
        <v>74000</v>
      </c>
      <c r="H7" s="5" t="s">
        <v>100</v>
      </c>
      <c r="I7" s="7">
        <v>520000</v>
      </c>
      <c r="J7" s="5" t="s">
        <v>23</v>
      </c>
    </row>
    <row r="8" spans="1:10" x14ac:dyDescent="0.2">
      <c r="A8" s="4">
        <v>4</v>
      </c>
      <c r="B8" s="5" t="s">
        <v>102</v>
      </c>
      <c r="C8" s="4">
        <v>0</v>
      </c>
      <c r="D8" s="4" t="s">
        <v>14</v>
      </c>
      <c r="E8" s="5" t="s">
        <v>14</v>
      </c>
      <c r="F8" s="6" t="s">
        <v>29</v>
      </c>
      <c r="G8" s="8" t="s">
        <v>14</v>
      </c>
      <c r="H8" s="5" t="s">
        <v>14</v>
      </c>
      <c r="I8" s="8" t="s">
        <v>14</v>
      </c>
      <c r="J8" s="5" t="s">
        <v>65</v>
      </c>
    </row>
    <row r="9" spans="1:10" ht="42" x14ac:dyDescent="0.2">
      <c r="A9" s="4">
        <v>5</v>
      </c>
      <c r="B9" s="5" t="s">
        <v>103</v>
      </c>
      <c r="C9" s="4">
        <v>1</v>
      </c>
      <c r="D9" s="4">
        <v>3</v>
      </c>
      <c r="E9" s="5" t="s">
        <v>104</v>
      </c>
      <c r="F9" s="6" t="s">
        <v>88</v>
      </c>
      <c r="G9" s="7">
        <v>37000</v>
      </c>
      <c r="H9" s="5" t="s">
        <v>105</v>
      </c>
      <c r="I9" s="7">
        <v>136000</v>
      </c>
      <c r="J9" s="5"/>
    </row>
    <row r="10" spans="1:10" x14ac:dyDescent="0.2">
      <c r="A10" s="4">
        <v>6</v>
      </c>
      <c r="B10" s="5" t="s">
        <v>106</v>
      </c>
      <c r="C10" s="4">
        <v>1</v>
      </c>
      <c r="D10" s="4">
        <v>1</v>
      </c>
      <c r="E10" s="5" t="s">
        <v>107</v>
      </c>
      <c r="F10" s="6" t="s">
        <v>90</v>
      </c>
      <c r="G10" s="7">
        <v>15000</v>
      </c>
      <c r="H10" s="5" t="s">
        <v>56</v>
      </c>
      <c r="I10" s="7">
        <v>60000</v>
      </c>
      <c r="J10" s="5"/>
    </row>
    <row r="11" spans="1:10" x14ac:dyDescent="0.2">
      <c r="A11" s="4">
        <v>7</v>
      </c>
      <c r="B11" s="5" t="s">
        <v>108</v>
      </c>
      <c r="C11" s="4">
        <v>0</v>
      </c>
      <c r="D11" s="4" t="s">
        <v>14</v>
      </c>
      <c r="E11" s="5" t="s">
        <v>14</v>
      </c>
      <c r="F11" s="6" t="s">
        <v>33</v>
      </c>
      <c r="G11" s="8" t="s">
        <v>14</v>
      </c>
      <c r="H11" s="5" t="s">
        <v>14</v>
      </c>
      <c r="I11" s="8" t="s">
        <v>14</v>
      </c>
      <c r="J11" s="5" t="s">
        <v>35</v>
      </c>
    </row>
    <row r="12" spans="1:10" x14ac:dyDescent="0.2">
      <c r="A12" s="9"/>
      <c r="B12" s="9" t="s">
        <v>36</v>
      </c>
      <c r="C12" s="9"/>
      <c r="D12" s="10">
        <f>SUM(D5:D11)</f>
        <v>14</v>
      </c>
      <c r="E12" s="9"/>
      <c r="F12" s="9"/>
      <c r="G12" s="11">
        <f>SUM(G5:G11)</f>
        <v>184000</v>
      </c>
      <c r="H12" s="9"/>
      <c r="I12" s="11">
        <f>SUM(I5:I11)</f>
        <v>716000</v>
      </c>
      <c r="J12" s="9"/>
    </row>
    <row r="14" spans="1:10" ht="16" x14ac:dyDescent="0.2">
      <c r="A14" s="12" t="s">
        <v>37</v>
      </c>
    </row>
    <row r="15" spans="1:10" ht="70" x14ac:dyDescent="0.2">
      <c r="A15" s="18" t="s">
        <v>38</v>
      </c>
      <c r="B15" s="18" t="s">
        <v>39</v>
      </c>
      <c r="C15" s="18" t="s">
        <v>40</v>
      </c>
      <c r="D15" s="18" t="s">
        <v>41</v>
      </c>
      <c r="E15" s="18" t="s">
        <v>42</v>
      </c>
    </row>
    <row r="16" spans="1:10" x14ac:dyDescent="0.2">
      <c r="A16" s="6" t="s">
        <v>109</v>
      </c>
      <c r="B16" s="4" t="s">
        <v>44</v>
      </c>
      <c r="C16" s="7">
        <v>14000</v>
      </c>
      <c r="D16" s="4">
        <v>5</v>
      </c>
      <c r="E16" s="7">
        <f>C16*D16</f>
        <v>70000</v>
      </c>
    </row>
    <row r="17" spans="1:5" x14ac:dyDescent="0.2">
      <c r="A17" s="6" t="s">
        <v>46</v>
      </c>
      <c r="B17" s="4" t="s">
        <v>44</v>
      </c>
      <c r="C17" s="7">
        <v>15000</v>
      </c>
      <c r="D17" s="4">
        <v>6</v>
      </c>
      <c r="E17" s="7">
        <f>C17*D17</f>
        <v>90000</v>
      </c>
    </row>
    <row r="18" spans="1:5" x14ac:dyDescent="0.2">
      <c r="A18" s="6" t="s">
        <v>102</v>
      </c>
      <c r="B18" s="4" t="s">
        <v>44</v>
      </c>
      <c r="C18" s="7">
        <v>8000</v>
      </c>
      <c r="D18" s="4">
        <v>3</v>
      </c>
      <c r="E18" s="7">
        <f>C18*D18</f>
        <v>24000</v>
      </c>
    </row>
    <row r="19" spans="1:5" x14ac:dyDescent="0.2">
      <c r="A19" s="6" t="s">
        <v>100</v>
      </c>
      <c r="B19" s="4" t="s">
        <v>9</v>
      </c>
      <c r="C19" s="8" t="s">
        <v>14</v>
      </c>
      <c r="D19" s="4" t="s">
        <v>14</v>
      </c>
      <c r="E19" s="7">
        <v>520000</v>
      </c>
    </row>
    <row r="20" spans="1:5" x14ac:dyDescent="0.2">
      <c r="A20" s="6" t="s">
        <v>105</v>
      </c>
      <c r="B20" s="4" t="s">
        <v>9</v>
      </c>
      <c r="C20" s="8" t="s">
        <v>14</v>
      </c>
      <c r="D20" s="4" t="s">
        <v>14</v>
      </c>
      <c r="E20" s="7">
        <v>136000</v>
      </c>
    </row>
    <row r="21" spans="1:5" x14ac:dyDescent="0.2">
      <c r="A21" s="6" t="s">
        <v>56</v>
      </c>
      <c r="B21" s="4" t="s">
        <v>9</v>
      </c>
      <c r="C21" s="8" t="s">
        <v>14</v>
      </c>
      <c r="D21" s="4" t="s">
        <v>14</v>
      </c>
      <c r="E21" s="7">
        <v>60000</v>
      </c>
    </row>
    <row r="22" spans="1:5" x14ac:dyDescent="0.2">
      <c r="A22" s="13" t="s">
        <v>47</v>
      </c>
      <c r="B22" s="13"/>
      <c r="C22" s="13"/>
      <c r="D22" s="13"/>
      <c r="E22" s="14">
        <f>SUM(E16:E21)</f>
        <v>900000</v>
      </c>
    </row>
    <row r="23" spans="1:5" x14ac:dyDescent="0.2">
      <c r="A23" s="15" t="s">
        <v>48</v>
      </c>
    </row>
  </sheetData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22"/>
  <sheetViews>
    <sheetView zoomScaleNormal="100" workbookViewId="0"/>
  </sheetViews>
  <sheetFormatPr baseColWidth="10" defaultColWidth="8.6640625" defaultRowHeight="15" x14ac:dyDescent="0.2"/>
  <cols>
    <col min="1" max="1" width="5" customWidth="1"/>
    <col min="2" max="2" width="36" customWidth="1"/>
    <col min="3" max="3" width="14" customWidth="1"/>
    <col min="4" max="4" width="15" customWidth="1"/>
    <col min="5" max="5" width="34" customWidth="1"/>
    <col min="6" max="6" width="14" customWidth="1"/>
    <col min="7" max="7" width="17" customWidth="1"/>
    <col min="8" max="8" width="24" customWidth="1"/>
    <col min="9" max="9" width="16" customWidth="1"/>
    <col min="10" max="10" width="26" customWidth="1"/>
  </cols>
  <sheetData>
    <row r="1" spans="1:10" ht="18" x14ac:dyDescent="0.2">
      <c r="A1" s="1" t="s">
        <v>110</v>
      </c>
    </row>
    <row r="2" spans="1:10" x14ac:dyDescent="0.2">
      <c r="A2" s="2" t="s">
        <v>111</v>
      </c>
    </row>
    <row r="4" spans="1:10" ht="31.5" customHeight="1" x14ac:dyDescent="0.2">
      <c r="A4" s="19" t="s">
        <v>2</v>
      </c>
      <c r="B4" s="19" t="s">
        <v>3</v>
      </c>
      <c r="C4" s="19" t="s">
        <v>4</v>
      </c>
      <c r="D4" s="19" t="s">
        <v>5</v>
      </c>
      <c r="E4" s="19" t="s">
        <v>6</v>
      </c>
      <c r="F4" s="19" t="s">
        <v>7</v>
      </c>
      <c r="G4" s="19" t="s">
        <v>8</v>
      </c>
      <c r="H4" s="19" t="s">
        <v>9</v>
      </c>
      <c r="I4" s="19" t="s">
        <v>10</v>
      </c>
      <c r="J4" s="19" t="s">
        <v>11</v>
      </c>
    </row>
    <row r="5" spans="1:10" ht="42" x14ac:dyDescent="0.2">
      <c r="A5" s="4">
        <v>1</v>
      </c>
      <c r="B5" s="5" t="s">
        <v>112</v>
      </c>
      <c r="C5" s="4">
        <v>2</v>
      </c>
      <c r="D5" s="4">
        <v>6</v>
      </c>
      <c r="E5" s="5" t="s">
        <v>113</v>
      </c>
      <c r="F5" s="6" t="s">
        <v>14</v>
      </c>
      <c r="G5" s="7">
        <v>70000</v>
      </c>
      <c r="H5" s="5" t="s">
        <v>14</v>
      </c>
      <c r="I5" s="8" t="s">
        <v>14</v>
      </c>
      <c r="J5" s="5" t="s">
        <v>114</v>
      </c>
    </row>
    <row r="6" spans="1:10" ht="42" x14ac:dyDescent="0.2">
      <c r="A6" s="4">
        <v>2</v>
      </c>
      <c r="B6" s="5" t="s">
        <v>115</v>
      </c>
      <c r="C6" s="4">
        <v>1</v>
      </c>
      <c r="D6" s="4">
        <v>3</v>
      </c>
      <c r="E6" s="5" t="s">
        <v>116</v>
      </c>
      <c r="F6" s="6" t="s">
        <v>18</v>
      </c>
      <c r="G6" s="7">
        <v>35000</v>
      </c>
      <c r="H6" s="5" t="s">
        <v>14</v>
      </c>
      <c r="I6" s="8" t="s">
        <v>14</v>
      </c>
      <c r="J6" s="5" t="s">
        <v>15</v>
      </c>
    </row>
    <row r="7" spans="1:10" ht="42" x14ac:dyDescent="0.2">
      <c r="A7" s="4">
        <v>3</v>
      </c>
      <c r="B7" s="5" t="s">
        <v>117</v>
      </c>
      <c r="C7" s="4">
        <v>1</v>
      </c>
      <c r="D7" s="4">
        <v>3</v>
      </c>
      <c r="E7" s="5" t="s">
        <v>116</v>
      </c>
      <c r="F7" s="6" t="s">
        <v>21</v>
      </c>
      <c r="G7" s="7">
        <v>35000</v>
      </c>
      <c r="H7" s="5" t="s">
        <v>118</v>
      </c>
      <c r="I7" s="7">
        <v>520000</v>
      </c>
      <c r="J7" s="5"/>
    </row>
    <row r="8" spans="1:10" ht="28" x14ac:dyDescent="0.2">
      <c r="A8" s="4">
        <v>4</v>
      </c>
      <c r="B8" s="5" t="s">
        <v>119</v>
      </c>
      <c r="C8" s="4">
        <v>1</v>
      </c>
      <c r="D8" s="4">
        <v>2</v>
      </c>
      <c r="E8" s="5" t="s">
        <v>120</v>
      </c>
      <c r="F8" s="6" t="s">
        <v>29</v>
      </c>
      <c r="G8" s="7">
        <v>26000</v>
      </c>
      <c r="H8" s="5" t="s">
        <v>121</v>
      </c>
      <c r="I8" s="7">
        <v>90000</v>
      </c>
      <c r="J8" s="5"/>
    </row>
    <row r="9" spans="1:10" x14ac:dyDescent="0.2">
      <c r="A9" s="4">
        <v>5</v>
      </c>
      <c r="B9" s="5" t="s">
        <v>122</v>
      </c>
      <c r="C9" s="4">
        <v>1</v>
      </c>
      <c r="D9" s="4">
        <v>1</v>
      </c>
      <c r="E9" s="5" t="s">
        <v>123</v>
      </c>
      <c r="F9" s="6" t="s">
        <v>29</v>
      </c>
      <c r="G9" s="7">
        <v>9000</v>
      </c>
      <c r="H9" s="5" t="s">
        <v>14</v>
      </c>
      <c r="I9" s="8" t="s">
        <v>14</v>
      </c>
      <c r="J9" s="5" t="s">
        <v>124</v>
      </c>
    </row>
    <row r="10" spans="1:10" ht="42" x14ac:dyDescent="0.2">
      <c r="A10" s="4">
        <v>6</v>
      </c>
      <c r="B10" s="5" t="s">
        <v>125</v>
      </c>
      <c r="C10" s="4">
        <v>1</v>
      </c>
      <c r="D10" s="4">
        <v>3</v>
      </c>
      <c r="E10" s="5" t="s">
        <v>116</v>
      </c>
      <c r="F10" s="6" t="s">
        <v>31</v>
      </c>
      <c r="G10" s="7">
        <v>35000</v>
      </c>
      <c r="H10" s="5" t="s">
        <v>91</v>
      </c>
      <c r="I10" s="7">
        <v>65000</v>
      </c>
      <c r="J10" s="5" t="s">
        <v>35</v>
      </c>
    </row>
    <row r="11" spans="1:10" x14ac:dyDescent="0.2">
      <c r="A11" s="9"/>
      <c r="B11" s="9" t="s">
        <v>36</v>
      </c>
      <c r="C11" s="9"/>
      <c r="D11" s="10">
        <f>SUM(D5:D10)</f>
        <v>18</v>
      </c>
      <c r="E11" s="9"/>
      <c r="F11" s="9"/>
      <c r="G11" s="11">
        <f>SUM(G5:G10)</f>
        <v>210000</v>
      </c>
      <c r="H11" s="9"/>
      <c r="I11" s="11">
        <f>SUM(I5:I10)</f>
        <v>675000</v>
      </c>
      <c r="J11" s="9"/>
    </row>
    <row r="13" spans="1:10" ht="16" x14ac:dyDescent="0.2">
      <c r="A13" s="12" t="s">
        <v>37</v>
      </c>
    </row>
    <row r="14" spans="1:10" ht="70" x14ac:dyDescent="0.2">
      <c r="A14" s="19" t="s">
        <v>38</v>
      </c>
      <c r="B14" s="19" t="s">
        <v>39</v>
      </c>
      <c r="C14" s="19" t="s">
        <v>40</v>
      </c>
      <c r="D14" s="19" t="s">
        <v>41</v>
      </c>
      <c r="E14" s="19" t="s">
        <v>42</v>
      </c>
    </row>
    <row r="15" spans="1:10" x14ac:dyDescent="0.2">
      <c r="A15" s="6" t="s">
        <v>126</v>
      </c>
      <c r="B15" s="4" t="s">
        <v>44</v>
      </c>
      <c r="C15" s="7">
        <v>14000</v>
      </c>
      <c r="D15" s="4">
        <v>6</v>
      </c>
      <c r="E15" s="7">
        <f>C15*D15</f>
        <v>84000</v>
      </c>
    </row>
    <row r="16" spans="1:10" x14ac:dyDescent="0.2">
      <c r="A16" s="6" t="s">
        <v>94</v>
      </c>
      <c r="B16" s="4" t="s">
        <v>44</v>
      </c>
      <c r="C16" s="7">
        <v>12000</v>
      </c>
      <c r="D16" s="4">
        <v>6</v>
      </c>
      <c r="E16" s="7">
        <f>C16*D16</f>
        <v>72000</v>
      </c>
    </row>
    <row r="17" spans="1:5" x14ac:dyDescent="0.2">
      <c r="A17" s="6" t="s">
        <v>127</v>
      </c>
      <c r="B17" s="4" t="s">
        <v>44</v>
      </c>
      <c r="C17" s="7">
        <v>9000</v>
      </c>
      <c r="D17" s="4">
        <v>6</v>
      </c>
      <c r="E17" s="7">
        <f>C17*D17</f>
        <v>54000</v>
      </c>
    </row>
    <row r="18" spans="1:5" x14ac:dyDescent="0.2">
      <c r="A18" s="6" t="s">
        <v>118</v>
      </c>
      <c r="B18" s="4" t="s">
        <v>9</v>
      </c>
      <c r="C18" s="8" t="s">
        <v>14</v>
      </c>
      <c r="D18" s="4" t="s">
        <v>14</v>
      </c>
      <c r="E18" s="7">
        <v>520000</v>
      </c>
    </row>
    <row r="19" spans="1:5" x14ac:dyDescent="0.2">
      <c r="A19" s="6" t="s">
        <v>121</v>
      </c>
      <c r="B19" s="4" t="s">
        <v>9</v>
      </c>
      <c r="C19" s="8" t="s">
        <v>14</v>
      </c>
      <c r="D19" s="4" t="s">
        <v>14</v>
      </c>
      <c r="E19" s="7">
        <v>90000</v>
      </c>
    </row>
    <row r="20" spans="1:5" x14ac:dyDescent="0.2">
      <c r="A20" s="6" t="s">
        <v>91</v>
      </c>
      <c r="B20" s="4" t="s">
        <v>9</v>
      </c>
      <c r="C20" s="8" t="s">
        <v>14</v>
      </c>
      <c r="D20" s="4" t="s">
        <v>14</v>
      </c>
      <c r="E20" s="7">
        <v>65000</v>
      </c>
    </row>
    <row r="21" spans="1:5" x14ac:dyDescent="0.2">
      <c r="A21" s="13" t="s">
        <v>47</v>
      </c>
      <c r="B21" s="13"/>
      <c r="C21" s="13"/>
      <c r="D21" s="13"/>
      <c r="E21" s="14">
        <f>SUM(E15:E20)</f>
        <v>885000</v>
      </c>
    </row>
    <row r="22" spans="1:5" x14ac:dyDescent="0.2">
      <c r="A22" s="15" t="s">
        <v>95</v>
      </c>
    </row>
  </sheetData>
  <pageMargins left="0.75" right="0.75" top="1" bottom="1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22"/>
  <sheetViews>
    <sheetView zoomScaleNormal="100" workbookViewId="0"/>
  </sheetViews>
  <sheetFormatPr baseColWidth="10" defaultColWidth="8.6640625" defaultRowHeight="15" x14ac:dyDescent="0.2"/>
  <cols>
    <col min="1" max="1" width="5" customWidth="1"/>
    <col min="2" max="2" width="36" customWidth="1"/>
    <col min="3" max="3" width="14" customWidth="1"/>
    <col min="4" max="4" width="15" customWidth="1"/>
    <col min="5" max="5" width="34" customWidth="1"/>
    <col min="6" max="6" width="14" customWidth="1"/>
    <col min="7" max="7" width="17" customWidth="1"/>
    <col min="8" max="8" width="24" customWidth="1"/>
    <col min="9" max="9" width="16" customWidth="1"/>
    <col min="10" max="10" width="26" customWidth="1"/>
  </cols>
  <sheetData>
    <row r="1" spans="1:10" ht="18" x14ac:dyDescent="0.2">
      <c r="A1" s="1" t="s">
        <v>128</v>
      </c>
    </row>
    <row r="2" spans="1:10" x14ac:dyDescent="0.2">
      <c r="A2" s="2" t="s">
        <v>129</v>
      </c>
    </row>
    <row r="4" spans="1:10" ht="31.5" customHeight="1" x14ac:dyDescent="0.2">
      <c r="A4" s="20" t="s">
        <v>2</v>
      </c>
      <c r="B4" s="20" t="s">
        <v>3</v>
      </c>
      <c r="C4" s="20" t="s">
        <v>4</v>
      </c>
      <c r="D4" s="20" t="s">
        <v>5</v>
      </c>
      <c r="E4" s="20" t="s">
        <v>6</v>
      </c>
      <c r="F4" s="20" t="s">
        <v>7</v>
      </c>
      <c r="G4" s="20" t="s">
        <v>8</v>
      </c>
      <c r="H4" s="20" t="s">
        <v>9</v>
      </c>
      <c r="I4" s="20" t="s">
        <v>10</v>
      </c>
      <c r="J4" s="20" t="s">
        <v>11</v>
      </c>
    </row>
    <row r="5" spans="1:10" x14ac:dyDescent="0.2">
      <c r="A5" s="4">
        <v>1</v>
      </c>
      <c r="B5" s="5" t="s">
        <v>130</v>
      </c>
      <c r="C5" s="4">
        <v>1</v>
      </c>
      <c r="D5" s="4">
        <v>1</v>
      </c>
      <c r="E5" s="5" t="s">
        <v>131</v>
      </c>
      <c r="F5" s="6" t="s">
        <v>14</v>
      </c>
      <c r="G5" s="7">
        <v>16000</v>
      </c>
      <c r="H5" s="5" t="s">
        <v>132</v>
      </c>
      <c r="I5" s="7">
        <v>340000</v>
      </c>
      <c r="J5" s="5" t="s">
        <v>15</v>
      </c>
    </row>
    <row r="6" spans="1:10" x14ac:dyDescent="0.2">
      <c r="A6" s="4">
        <v>2</v>
      </c>
      <c r="B6" s="5" t="s">
        <v>133</v>
      </c>
      <c r="C6" s="4">
        <v>1</v>
      </c>
      <c r="D6" s="4">
        <v>1</v>
      </c>
      <c r="E6" s="5" t="s">
        <v>131</v>
      </c>
      <c r="F6" s="6" t="s">
        <v>18</v>
      </c>
      <c r="G6" s="7">
        <v>16000</v>
      </c>
      <c r="H6" s="5" t="s">
        <v>14</v>
      </c>
      <c r="I6" s="8" t="s">
        <v>14</v>
      </c>
      <c r="J6" s="5"/>
    </row>
    <row r="7" spans="1:10" x14ac:dyDescent="0.2">
      <c r="A7" s="4">
        <v>3</v>
      </c>
      <c r="B7" s="5" t="s">
        <v>134</v>
      </c>
      <c r="C7" s="4">
        <v>1</v>
      </c>
      <c r="D7" s="4">
        <v>1</v>
      </c>
      <c r="E7" s="5" t="s">
        <v>131</v>
      </c>
      <c r="F7" s="6" t="s">
        <v>21</v>
      </c>
      <c r="G7" s="7">
        <v>16000</v>
      </c>
      <c r="H7" s="5" t="s">
        <v>14</v>
      </c>
      <c r="I7" s="8" t="s">
        <v>14</v>
      </c>
      <c r="J7" s="5" t="s">
        <v>77</v>
      </c>
    </row>
    <row r="8" spans="1:10" ht="28" x14ac:dyDescent="0.2">
      <c r="A8" s="4">
        <v>4</v>
      </c>
      <c r="B8" s="5" t="s">
        <v>135</v>
      </c>
      <c r="C8" s="4">
        <v>2</v>
      </c>
      <c r="D8" s="4">
        <v>1</v>
      </c>
      <c r="E8" s="5" t="s">
        <v>131</v>
      </c>
      <c r="F8" s="6" t="s">
        <v>29</v>
      </c>
      <c r="G8" s="7">
        <v>16000</v>
      </c>
      <c r="H8" s="5" t="s">
        <v>136</v>
      </c>
      <c r="I8" s="7">
        <v>44000</v>
      </c>
      <c r="J8" s="5" t="s">
        <v>137</v>
      </c>
    </row>
    <row r="9" spans="1:10" ht="28" x14ac:dyDescent="0.2">
      <c r="A9" s="4">
        <v>5</v>
      </c>
      <c r="B9" s="5" t="s">
        <v>138</v>
      </c>
      <c r="C9" s="4">
        <v>2</v>
      </c>
      <c r="D9" s="4">
        <v>2</v>
      </c>
      <c r="E9" s="5" t="s">
        <v>139</v>
      </c>
      <c r="F9" s="6" t="s">
        <v>29</v>
      </c>
      <c r="G9" s="7">
        <v>61000</v>
      </c>
      <c r="H9" s="5" t="s">
        <v>140</v>
      </c>
      <c r="I9" s="7">
        <v>105000</v>
      </c>
      <c r="J9" s="5" t="s">
        <v>141</v>
      </c>
    </row>
    <row r="10" spans="1:10" ht="28" x14ac:dyDescent="0.2">
      <c r="A10" s="4">
        <v>6</v>
      </c>
      <c r="B10" s="5" t="s">
        <v>142</v>
      </c>
      <c r="C10" s="4">
        <v>1</v>
      </c>
      <c r="D10" s="4">
        <v>2</v>
      </c>
      <c r="E10" s="5" t="s">
        <v>139</v>
      </c>
      <c r="F10" s="6" t="s">
        <v>31</v>
      </c>
      <c r="G10" s="7">
        <v>61000</v>
      </c>
      <c r="H10" s="5" t="s">
        <v>143</v>
      </c>
      <c r="I10" s="7">
        <v>240000</v>
      </c>
      <c r="J10" s="5" t="s">
        <v>35</v>
      </c>
    </row>
    <row r="11" spans="1:10" x14ac:dyDescent="0.2">
      <c r="A11" s="9"/>
      <c r="B11" s="9" t="s">
        <v>36</v>
      </c>
      <c r="C11" s="9"/>
      <c r="D11" s="10">
        <f>SUM(D5:D10)</f>
        <v>8</v>
      </c>
      <c r="E11" s="9"/>
      <c r="F11" s="9"/>
      <c r="G11" s="11">
        <f>SUM(G5:G10)</f>
        <v>186000</v>
      </c>
      <c r="H11" s="9"/>
      <c r="I11" s="11">
        <f>SUM(I5:I10)</f>
        <v>729000</v>
      </c>
      <c r="J11" s="9"/>
    </row>
    <row r="13" spans="1:10" ht="16" x14ac:dyDescent="0.2">
      <c r="A13" s="12" t="s">
        <v>37</v>
      </c>
    </row>
    <row r="14" spans="1:10" ht="70" x14ac:dyDescent="0.2">
      <c r="A14" s="20" t="s">
        <v>38</v>
      </c>
      <c r="B14" s="20" t="s">
        <v>39</v>
      </c>
      <c r="C14" s="20" t="s">
        <v>40</v>
      </c>
      <c r="D14" s="20" t="s">
        <v>41</v>
      </c>
      <c r="E14" s="20" t="s">
        <v>42</v>
      </c>
    </row>
    <row r="15" spans="1:10" x14ac:dyDescent="0.2">
      <c r="A15" s="6" t="s">
        <v>144</v>
      </c>
      <c r="B15" s="4" t="s">
        <v>44</v>
      </c>
      <c r="C15" s="7">
        <v>16000</v>
      </c>
      <c r="D15" s="4">
        <v>6</v>
      </c>
      <c r="E15" s="7">
        <f>C15*D15</f>
        <v>96000</v>
      </c>
    </row>
    <row r="16" spans="1:10" x14ac:dyDescent="0.2">
      <c r="A16" s="6" t="s">
        <v>145</v>
      </c>
      <c r="B16" s="4" t="s">
        <v>44</v>
      </c>
      <c r="C16" s="7">
        <v>45000</v>
      </c>
      <c r="D16" s="4">
        <v>2</v>
      </c>
      <c r="E16" s="7">
        <f>C16*D16</f>
        <v>90000</v>
      </c>
    </row>
    <row r="17" spans="1:5" x14ac:dyDescent="0.2">
      <c r="A17" s="6" t="s">
        <v>132</v>
      </c>
      <c r="B17" s="4" t="s">
        <v>9</v>
      </c>
      <c r="C17" s="8" t="s">
        <v>14</v>
      </c>
      <c r="D17" s="4" t="s">
        <v>14</v>
      </c>
      <c r="E17" s="7">
        <v>340000</v>
      </c>
    </row>
    <row r="18" spans="1:5" x14ac:dyDescent="0.2">
      <c r="A18" s="6" t="s">
        <v>143</v>
      </c>
      <c r="B18" s="4" t="s">
        <v>9</v>
      </c>
      <c r="C18" s="8" t="s">
        <v>14</v>
      </c>
      <c r="D18" s="4" t="s">
        <v>14</v>
      </c>
      <c r="E18" s="7">
        <v>240000</v>
      </c>
    </row>
    <row r="19" spans="1:5" x14ac:dyDescent="0.2">
      <c r="A19" s="6" t="s">
        <v>140</v>
      </c>
      <c r="B19" s="4" t="s">
        <v>9</v>
      </c>
      <c r="C19" s="8" t="s">
        <v>14</v>
      </c>
      <c r="D19" s="4" t="s">
        <v>14</v>
      </c>
      <c r="E19" s="7">
        <v>105000</v>
      </c>
    </row>
    <row r="20" spans="1:5" x14ac:dyDescent="0.2">
      <c r="A20" s="6" t="s">
        <v>136</v>
      </c>
      <c r="B20" s="4" t="s">
        <v>9</v>
      </c>
      <c r="C20" s="8" t="s">
        <v>14</v>
      </c>
      <c r="D20" s="4" t="s">
        <v>14</v>
      </c>
      <c r="E20" s="7">
        <v>44000</v>
      </c>
    </row>
    <row r="21" spans="1:5" x14ac:dyDescent="0.2">
      <c r="A21" s="13" t="s">
        <v>47</v>
      </c>
      <c r="B21" s="13"/>
      <c r="C21" s="13"/>
      <c r="D21" s="13"/>
      <c r="E21" s="14">
        <f>SUM(E15:E20)</f>
        <v>915000</v>
      </c>
    </row>
    <row r="22" spans="1:5" x14ac:dyDescent="0.2">
      <c r="A22" s="15" t="s">
        <v>95</v>
      </c>
    </row>
  </sheetData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Кейтеринг</vt:lpstr>
      <vt:lpstr>Сцена</vt:lpstr>
      <vt:lpstr>Развлечения</vt:lpstr>
      <vt:lpstr>Мерч</vt:lpstr>
      <vt:lpstr>Логистика</vt:lpstr>
      <vt:lpstr>Афтепати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Ольга Кашинцева</cp:lastModifiedBy>
  <cp:revision>0</cp:revision>
  <dcterms:created xsi:type="dcterms:W3CDTF">2026-10-13T10:02:56Z</dcterms:created>
  <dcterms:modified xsi:type="dcterms:W3CDTF">2026-10-13T10:10:50Z</dcterms:modified>
  <dc:language>en-US</dc:language>
</cp:coreProperties>
</file>